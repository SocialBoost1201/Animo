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15日" sheetId="1" state="visible" r:id="rId1"/>
    <sheet xmlns:r="http://schemas.openxmlformats.org/officeDocument/2006/relationships" name="16-31日" sheetId="2" state="visible" r:id="rId2"/>
    <sheet xmlns:r="http://schemas.openxmlformats.org/officeDocument/2006/relationships" name="使い方" sheetId="3" state="visible" r:id="rId3"/>
  </sheets>
  <definedNames>
    <definedName name="_xlnm.Print_Area" localSheetId="0">'1-15日'!$A$1:$Q$37</definedName>
    <definedName name="_xlnm.Print_Area" localSheetId="1">'16-31日'!$A$1:$R$37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  <font>
      <name val="Yu Gothic"/>
      <sz val="9"/>
    </font>
    <font>
      <name val="Yu Gothic"/>
      <b val="1"/>
      <sz val="16"/>
    </font>
  </fonts>
  <fills count="6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5F5F5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left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" customWidth="1" min="19" max="19"/>
    <col width="6" customWidth="1" min="20" max="20"/>
    <col width="28" customWidth="1" min="21" max="21"/>
  </cols>
  <sheetData>
    <row r="1" ht="26" customHeight="1">
      <c r="C1" s="1">
        <f>CONCAT("Animo シフト表 ",$T$1,"年 ",$T$2,"月 前半")</f>
        <v/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S1" s="3" t="inlineStr">
        <is>
          <t>年</t>
        </is>
      </c>
      <c r="T1" s="4" t="n">
        <v>2026</v>
      </c>
      <c r="U1" s="5" t="inlineStr">
        <is>
          <t>T1とT2を変更すると曜日が自動更新されます</t>
        </is>
      </c>
    </row>
    <row r="2" ht="24" customHeight="1">
      <c r="A2" s="6" t="inlineStr">
        <is>
          <t>No.</t>
        </is>
      </c>
      <c r="B2" s="7" t="inlineStr">
        <is>
          <t>キャスト</t>
        </is>
      </c>
      <c r="C2" s="7">
        <f>TEXT(DATE($T$1,$T$2,1),"d（aaa）")</f>
        <v/>
      </c>
      <c r="D2" s="7">
        <f>TEXT(DATE($T$1,$T$2,2),"d（aaa）")</f>
        <v/>
      </c>
      <c r="E2" s="7">
        <f>TEXT(DATE($T$1,$T$2,3),"d（aaa）")</f>
        <v/>
      </c>
      <c r="F2" s="7">
        <f>TEXT(DATE($T$1,$T$2,4),"d（aaa）")</f>
        <v/>
      </c>
      <c r="G2" s="7">
        <f>TEXT(DATE($T$1,$T$2,5),"d（aaa）")</f>
        <v/>
      </c>
      <c r="H2" s="7">
        <f>TEXT(DATE($T$1,$T$2,6),"d（aaa）")</f>
        <v/>
      </c>
      <c r="I2" s="7">
        <f>TEXT(DATE($T$1,$T$2,7),"d（aaa）")</f>
        <v/>
      </c>
      <c r="J2" s="7">
        <f>TEXT(DATE($T$1,$T$2,8),"d（aaa）")</f>
        <v/>
      </c>
      <c r="K2" s="7">
        <f>TEXT(DATE($T$1,$T$2,9),"d（aaa）")</f>
        <v/>
      </c>
      <c r="L2" s="7">
        <f>TEXT(DATE($T$1,$T$2,10),"d（aaa）")</f>
        <v/>
      </c>
      <c r="M2" s="7">
        <f>TEXT(DATE($T$1,$T$2,11),"d（aaa）")</f>
        <v/>
      </c>
      <c r="N2" s="7">
        <f>TEXT(DATE($T$1,$T$2,12),"d（aaa）")</f>
        <v/>
      </c>
      <c r="O2" s="7">
        <f>TEXT(DATE($T$1,$T$2,13),"d（aaa）")</f>
        <v/>
      </c>
      <c r="P2" s="7">
        <f>TEXT(DATE($T$1,$T$2,14),"d（aaa）")</f>
        <v/>
      </c>
      <c r="Q2" s="8">
        <f>TEXT(DATE($T$1,$T$2,15),"d（aaa）")</f>
        <v/>
      </c>
      <c r="S2" s="3" t="inlineStr">
        <is>
          <t>月</t>
        </is>
      </c>
      <c r="T2" s="4" t="n">
        <v>4</v>
      </c>
    </row>
    <row r="3" ht="22" customHeight="1">
      <c r="A3" s="9" t="n">
        <v>1</v>
      </c>
      <c r="B3" s="10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2" t="n"/>
    </row>
    <row r="4" ht="22" customHeight="1">
      <c r="A4" s="9" t="n">
        <v>2</v>
      </c>
      <c r="B4" s="10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2" t="n"/>
    </row>
    <row r="5" ht="22" customHeight="1">
      <c r="A5" s="9" t="n">
        <v>3</v>
      </c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2" t="n"/>
    </row>
    <row r="6" ht="22" customHeight="1">
      <c r="A6" s="9" t="n">
        <v>4</v>
      </c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2" t="n"/>
    </row>
    <row r="7" ht="22" customHeight="1">
      <c r="A7" s="9" t="n">
        <v>5</v>
      </c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2" t="n"/>
    </row>
    <row r="8" ht="22" customHeight="1">
      <c r="A8" s="9" t="n">
        <v>6</v>
      </c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2" t="n"/>
    </row>
    <row r="9" ht="22" customHeight="1">
      <c r="A9" s="9" t="n">
        <v>7</v>
      </c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2" t="n"/>
    </row>
    <row r="10" ht="22" customHeight="1">
      <c r="A10" s="9" t="n">
        <v>8</v>
      </c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2" t="n"/>
    </row>
    <row r="11" ht="22" customHeight="1">
      <c r="A11" s="9" t="n">
        <v>9</v>
      </c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2" t="n"/>
    </row>
    <row r="12" ht="22" customHeight="1">
      <c r="A12" s="9" t="n">
        <v>10</v>
      </c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2" t="n"/>
    </row>
    <row r="13" ht="22" customHeight="1">
      <c r="A13" s="9" t="n">
        <v>11</v>
      </c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2" t="n"/>
    </row>
    <row r="14" ht="22" customHeight="1">
      <c r="A14" s="9" t="n">
        <v>12</v>
      </c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2" t="n"/>
    </row>
    <row r="15" ht="22" customHeight="1">
      <c r="A15" s="9" t="n">
        <v>13</v>
      </c>
      <c r="B15" s="10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2" t="n"/>
    </row>
    <row r="16" ht="22" customHeight="1">
      <c r="A16" s="9" t="n">
        <v>14</v>
      </c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2" t="n"/>
    </row>
    <row r="17" ht="22" customHeight="1">
      <c r="A17" s="9" t="n">
        <v>15</v>
      </c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2" t="n"/>
    </row>
    <row r="18" ht="22" customHeight="1">
      <c r="A18" s="9" t="n">
        <v>16</v>
      </c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2" t="n"/>
    </row>
    <row r="19" ht="22" customHeight="1">
      <c r="A19" s="9" t="n">
        <v>17</v>
      </c>
      <c r="B19" s="1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2" t="n"/>
    </row>
    <row r="20" ht="22" customHeight="1">
      <c r="A20" s="9" t="n">
        <v>18</v>
      </c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2" t="n"/>
    </row>
    <row r="21" ht="22" customHeight="1">
      <c r="A21" s="9" t="n">
        <v>19</v>
      </c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2" t="n"/>
    </row>
    <row r="22" ht="22" customHeight="1">
      <c r="A22" s="9" t="n">
        <v>20</v>
      </c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2" t="n"/>
    </row>
    <row r="23" ht="22" customHeight="1">
      <c r="A23" s="9" t="n">
        <v>21</v>
      </c>
      <c r="B23" s="1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2" t="n"/>
    </row>
    <row r="24" ht="22" customHeight="1">
      <c r="A24" s="9" t="n">
        <v>22</v>
      </c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2" t="n"/>
    </row>
    <row r="25" ht="22" customHeight="1">
      <c r="A25" s="9" t="n">
        <v>23</v>
      </c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2" t="n"/>
    </row>
    <row r="26" ht="22" customHeight="1">
      <c r="A26" s="9" t="n">
        <v>24</v>
      </c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2" t="n"/>
    </row>
    <row r="27" ht="22" customHeight="1">
      <c r="A27" s="9" t="n">
        <v>25</v>
      </c>
      <c r="B27" s="1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2" t="n"/>
    </row>
    <row r="28" ht="22" customHeight="1">
      <c r="A28" s="9" t="n">
        <v>26</v>
      </c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2" t="n"/>
    </row>
    <row r="29" ht="22" customHeight="1">
      <c r="A29" s="9" t="n">
        <v>27</v>
      </c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2" t="n"/>
    </row>
    <row r="30" ht="22" customHeight="1">
      <c r="A30" s="9" t="n">
        <v>28</v>
      </c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2" t="n"/>
    </row>
    <row r="31" ht="22" customHeight="1">
      <c r="A31" s="9" t="n">
        <v>29</v>
      </c>
      <c r="B31" s="1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2" t="n"/>
    </row>
    <row r="32" ht="22" customHeight="1">
      <c r="A32" s="9" t="n">
        <v>30</v>
      </c>
      <c r="B32" s="10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2" t="n"/>
    </row>
    <row r="33" ht="22" customHeight="1">
      <c r="A33" s="9" t="n">
        <v>31</v>
      </c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2" t="n"/>
    </row>
    <row r="34" ht="22" customHeight="1">
      <c r="A34" s="9" t="n">
        <v>32</v>
      </c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2" t="n"/>
    </row>
    <row r="35" ht="22" customHeight="1">
      <c r="A35" s="9" t="n">
        <v>33</v>
      </c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2" t="n"/>
    </row>
    <row r="36" ht="22" customHeight="1">
      <c r="A36" s="9" t="n">
        <v>34</v>
      </c>
      <c r="B36" s="1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2" t="n"/>
    </row>
    <row r="37" ht="22" customHeight="1">
      <c r="A37" s="13" t="n">
        <v>35</v>
      </c>
      <c r="B37" s="14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6" t="n"/>
    </row>
  </sheetData>
  <mergeCells count="1">
    <mergeCell ref="C1:Q1"/>
  </mergeCells>
  <printOptions horizontalCentered="1"/>
  <pageMargins left="0.2" right="0.2" top="0.3" bottom="0.3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6" customWidth="1" min="19" max="19"/>
    <col width="6" customWidth="1" min="20" max="20"/>
    <col width="28" customWidth="1" min="21" max="21"/>
  </cols>
  <sheetData>
    <row r="1" ht="26" customHeight="1">
      <c r="C1" s="1">
        <f>CONCAT("Animo シフト表 ",$T$1,"年 ",$T$2,"月 後半")</f>
        <v/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>
        <is>
          <t>年</t>
        </is>
      </c>
      <c r="T1" s="4" t="n">
        <v>2026</v>
      </c>
      <c r="U1" s="5" t="inlineStr">
        <is>
          <t>T1とT2を変更すると曜日が自動更新されます</t>
        </is>
      </c>
    </row>
    <row r="2" ht="24" customHeight="1">
      <c r="A2" s="6" t="inlineStr">
        <is>
          <t>No.</t>
        </is>
      </c>
      <c r="B2" s="7" t="inlineStr">
        <is>
          <t>キャスト</t>
        </is>
      </c>
      <c r="C2" s="7">
        <f>IF(16&gt;DAY(EOMONTH(DATE($T$1,$T$2,1),0)),"",TEXT(DATE($T$1,$T$2,16),"d（aaa）"))</f>
        <v/>
      </c>
      <c r="D2" s="7">
        <f>IF(17&gt;DAY(EOMONTH(DATE($T$1,$T$2,1),0)),"",TEXT(DATE($T$1,$T$2,17),"d（aaa）"))</f>
        <v/>
      </c>
      <c r="E2" s="7">
        <f>IF(18&gt;DAY(EOMONTH(DATE($T$1,$T$2,1),0)),"",TEXT(DATE($T$1,$T$2,18),"d（aaa）"))</f>
        <v/>
      </c>
      <c r="F2" s="7">
        <f>IF(19&gt;DAY(EOMONTH(DATE($T$1,$T$2,1),0)),"",TEXT(DATE($T$1,$T$2,19),"d（aaa）"))</f>
        <v/>
      </c>
      <c r="G2" s="7">
        <f>IF(20&gt;DAY(EOMONTH(DATE($T$1,$T$2,1),0)),"",TEXT(DATE($T$1,$T$2,20),"d（aaa）"))</f>
        <v/>
      </c>
      <c r="H2" s="7">
        <f>IF(21&gt;DAY(EOMONTH(DATE($T$1,$T$2,1),0)),"",TEXT(DATE($T$1,$T$2,21),"d（aaa）"))</f>
        <v/>
      </c>
      <c r="I2" s="7">
        <f>IF(22&gt;DAY(EOMONTH(DATE($T$1,$T$2,1),0)),"",TEXT(DATE($T$1,$T$2,22),"d（aaa）"))</f>
        <v/>
      </c>
      <c r="J2" s="7">
        <f>IF(23&gt;DAY(EOMONTH(DATE($T$1,$T$2,1),0)),"",TEXT(DATE($T$1,$T$2,23),"d（aaa）"))</f>
        <v/>
      </c>
      <c r="K2" s="7">
        <f>IF(24&gt;DAY(EOMONTH(DATE($T$1,$T$2,1),0)),"",TEXT(DATE($T$1,$T$2,24),"d（aaa）"))</f>
        <v/>
      </c>
      <c r="L2" s="7">
        <f>IF(25&gt;DAY(EOMONTH(DATE($T$1,$T$2,1),0)),"",TEXT(DATE($T$1,$T$2,25),"d（aaa）"))</f>
        <v/>
      </c>
      <c r="M2" s="7">
        <f>IF(26&gt;DAY(EOMONTH(DATE($T$1,$T$2,1),0)),"",TEXT(DATE($T$1,$T$2,26),"d（aaa）"))</f>
        <v/>
      </c>
      <c r="N2" s="7">
        <f>IF(27&gt;DAY(EOMONTH(DATE($T$1,$T$2,1),0)),"",TEXT(DATE($T$1,$T$2,27),"d（aaa）"))</f>
        <v/>
      </c>
      <c r="O2" s="7">
        <f>IF(28&gt;DAY(EOMONTH(DATE($T$1,$T$2,1),0)),"",TEXT(DATE($T$1,$T$2,28),"d（aaa）"))</f>
        <v/>
      </c>
      <c r="P2" s="7">
        <f>IF(29&gt;DAY(EOMONTH(DATE($T$1,$T$2,1),0)),"",TEXT(DATE($T$1,$T$2,29),"d（aaa）"))</f>
        <v/>
      </c>
      <c r="Q2" s="7">
        <f>IF(30&gt;DAY(EOMONTH(DATE($T$1,$T$2,1),0)),"",TEXT(DATE($T$1,$T$2,30),"d（aaa）"))</f>
        <v/>
      </c>
      <c r="R2" s="8">
        <f>IF(31&gt;DAY(EOMONTH(DATE($T$1,$T$2,1),0)),"",TEXT(DATE($T$1,$T$2,31),"d（aaa）"))</f>
        <v/>
      </c>
      <c r="S2" s="3" t="inlineStr">
        <is>
          <t>月</t>
        </is>
      </c>
      <c r="T2" s="4" t="n">
        <v>4</v>
      </c>
    </row>
    <row r="3" ht="22" customHeight="1">
      <c r="A3" s="9" t="n">
        <v>1</v>
      </c>
      <c r="B3" s="10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2" t="n"/>
    </row>
    <row r="4" ht="22" customHeight="1">
      <c r="A4" s="9" t="n">
        <v>2</v>
      </c>
      <c r="B4" s="10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2" t="n"/>
    </row>
    <row r="5" ht="22" customHeight="1">
      <c r="A5" s="9" t="n">
        <v>3</v>
      </c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2" t="n"/>
    </row>
    <row r="6" ht="22" customHeight="1">
      <c r="A6" s="9" t="n">
        <v>4</v>
      </c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2" t="n"/>
    </row>
    <row r="7" ht="22" customHeight="1">
      <c r="A7" s="9" t="n">
        <v>5</v>
      </c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2" t="n"/>
    </row>
    <row r="8" ht="22" customHeight="1">
      <c r="A8" s="9" t="n">
        <v>6</v>
      </c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2" t="n"/>
    </row>
    <row r="9" ht="22" customHeight="1">
      <c r="A9" s="9" t="n">
        <v>7</v>
      </c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2" t="n"/>
    </row>
    <row r="10" ht="22" customHeight="1">
      <c r="A10" s="9" t="n">
        <v>8</v>
      </c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2" t="n"/>
    </row>
    <row r="11" ht="22" customHeight="1">
      <c r="A11" s="9" t="n">
        <v>9</v>
      </c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2" t="n"/>
    </row>
    <row r="12" ht="22" customHeight="1">
      <c r="A12" s="9" t="n">
        <v>10</v>
      </c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2" t="n"/>
    </row>
    <row r="13" ht="22" customHeight="1">
      <c r="A13" s="9" t="n">
        <v>11</v>
      </c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2" t="n"/>
    </row>
    <row r="14" ht="22" customHeight="1">
      <c r="A14" s="9" t="n">
        <v>12</v>
      </c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2" t="n"/>
    </row>
    <row r="15" ht="22" customHeight="1">
      <c r="A15" s="9" t="n">
        <v>13</v>
      </c>
      <c r="B15" s="10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2" t="n"/>
    </row>
    <row r="16" ht="22" customHeight="1">
      <c r="A16" s="9" t="n">
        <v>14</v>
      </c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2" t="n"/>
    </row>
    <row r="17" ht="22" customHeight="1">
      <c r="A17" s="9" t="n">
        <v>15</v>
      </c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2" t="n"/>
    </row>
    <row r="18" ht="22" customHeight="1">
      <c r="A18" s="9" t="n">
        <v>16</v>
      </c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2" t="n"/>
    </row>
    <row r="19" ht="22" customHeight="1">
      <c r="A19" s="9" t="n">
        <v>17</v>
      </c>
      <c r="B19" s="1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2" t="n"/>
    </row>
    <row r="20" ht="22" customHeight="1">
      <c r="A20" s="9" t="n">
        <v>18</v>
      </c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2" t="n"/>
    </row>
    <row r="21" ht="22" customHeight="1">
      <c r="A21" s="9" t="n">
        <v>19</v>
      </c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2" t="n"/>
    </row>
    <row r="22" ht="22" customHeight="1">
      <c r="A22" s="9" t="n">
        <v>20</v>
      </c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2" t="n"/>
    </row>
    <row r="23" ht="22" customHeight="1">
      <c r="A23" s="9" t="n">
        <v>21</v>
      </c>
      <c r="B23" s="1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2" t="n"/>
    </row>
    <row r="24" ht="22" customHeight="1">
      <c r="A24" s="9" t="n">
        <v>22</v>
      </c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2" t="n"/>
    </row>
    <row r="25" ht="22" customHeight="1">
      <c r="A25" s="9" t="n">
        <v>23</v>
      </c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2" t="n"/>
    </row>
    <row r="26" ht="22" customHeight="1">
      <c r="A26" s="9" t="n">
        <v>24</v>
      </c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2" t="n"/>
    </row>
    <row r="27" ht="22" customHeight="1">
      <c r="A27" s="9" t="n">
        <v>25</v>
      </c>
      <c r="B27" s="1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2" t="n"/>
    </row>
    <row r="28" ht="22" customHeight="1">
      <c r="A28" s="9" t="n">
        <v>26</v>
      </c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2" t="n"/>
    </row>
    <row r="29" ht="22" customHeight="1">
      <c r="A29" s="9" t="n">
        <v>27</v>
      </c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2" t="n"/>
    </row>
    <row r="30" ht="22" customHeight="1">
      <c r="A30" s="9" t="n">
        <v>28</v>
      </c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2" t="n"/>
    </row>
    <row r="31" ht="22" customHeight="1">
      <c r="A31" s="9" t="n">
        <v>29</v>
      </c>
      <c r="B31" s="1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2" t="n"/>
    </row>
    <row r="32" ht="22" customHeight="1">
      <c r="A32" s="9" t="n">
        <v>30</v>
      </c>
      <c r="B32" s="10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2" t="n"/>
    </row>
    <row r="33" ht="22" customHeight="1">
      <c r="A33" s="9" t="n">
        <v>31</v>
      </c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2" t="n"/>
    </row>
    <row r="34" ht="22" customHeight="1">
      <c r="A34" s="9" t="n">
        <v>32</v>
      </c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2" t="n"/>
    </row>
    <row r="35" ht="22" customHeight="1">
      <c r="A35" s="9" t="n">
        <v>33</v>
      </c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2" t="n"/>
    </row>
    <row r="36" ht="22" customHeight="1">
      <c r="A36" s="9" t="n">
        <v>34</v>
      </c>
      <c r="B36" s="1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2" t="n"/>
    </row>
    <row r="37" ht="22" customHeight="1">
      <c r="A37" s="13" t="n">
        <v>35</v>
      </c>
      <c r="B37" s="14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6" t="n"/>
    </row>
  </sheetData>
  <mergeCells count="1">
    <mergeCell ref="C1:R1"/>
  </mergeCells>
  <printOptions horizontalCentered="1"/>
  <pageMargins left="0.2" right="0.2" top="0.3" bottom="0.3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使い方</t>
        </is>
      </c>
    </row>
    <row r="3">
      <c r="A3" t="inlineStr">
        <is>
          <t>1. 1-15日シート、16-31日シートの T1 に年、T2 に月を入力してください。</t>
        </is>
      </c>
    </row>
    <row r="4">
      <c r="A4" t="inlineStr">
        <is>
          <t>2. 日付見出しは自動で「1（火）」のように更新されます。</t>
        </is>
      </c>
    </row>
    <row r="5">
      <c r="A5" t="inlineStr">
        <is>
          <t>3. 印刷範囲はA4横 1ページに設定済みです。</t>
        </is>
      </c>
    </row>
    <row r="6">
      <c r="A6" t="inlineStr">
        <is>
          <t>4. 各セルに ○ / △ / × などを入力して運用してください。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2026-03-18T00:34:25Z</dcterms:created>
  <dcterms:modified xmlns:dcterms="http://purl.org/dc/terms/" xmlns:xsi="http://www.w3.org/2001/XMLSchema-instance" xsi:type="dcterms:W3CDTF">2026-03-18T00:34:25Z</dcterms:modified>
</cp:coreProperties>
</file>